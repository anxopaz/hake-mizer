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uarios\apaz\Documents\hake-mizer\data\Demersales\"/>
    </mc:Choice>
  </mc:AlternateContent>
  <xr:revisionPtr revIDLastSave="0" documentId="13_ncr:1_{FB2E3394-B0B4-4DA3-AF33-05A882FD6391}" xr6:coauthVersionLast="47" xr6:coauthVersionMax="47" xr10:uidLastSave="{00000000-0000-0000-0000-000000000000}"/>
  <bookViews>
    <workbookView xWindow="-108" yWindow="-108" windowWidth="23256" windowHeight="12456" xr2:uid="{989B7B2A-5335-4516-8F59-C702E446D0B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" i="1" l="1"/>
  <c r="G3" i="1"/>
  <c r="F3" i="1"/>
</calcChain>
</file>

<file path=xl/sharedStrings.xml><?xml version="1.0" encoding="utf-8"?>
<sst xmlns="http://schemas.openxmlformats.org/spreadsheetml/2006/main" count="24" uniqueCount="24">
  <si>
    <t>esp</t>
  </si>
  <si>
    <t>a</t>
  </si>
  <si>
    <t>b</t>
  </si>
  <si>
    <t>Engraulis encrasicolus</t>
  </si>
  <si>
    <t>Micromesistius poutassou</t>
  </si>
  <si>
    <t>Sardina pilchardus</t>
  </si>
  <si>
    <t>Scomber scombrus</t>
  </si>
  <si>
    <t>Trachurus trachurus</t>
  </si>
  <si>
    <t>red</t>
  </si>
  <si>
    <t>Eng_encr</t>
  </si>
  <si>
    <t>Mic_pout</t>
  </si>
  <si>
    <t>Sar_pilc</t>
  </si>
  <si>
    <t>Sco_scom</t>
  </si>
  <si>
    <t>Tra_trac</t>
  </si>
  <si>
    <t>common</t>
  </si>
  <si>
    <t>Blue whiting</t>
  </si>
  <si>
    <t>Anchovy</t>
  </si>
  <si>
    <t>Pilchard</t>
  </si>
  <si>
    <t>Mackerel</t>
  </si>
  <si>
    <t>Horse mackerel</t>
  </si>
  <si>
    <t>l_mat</t>
  </si>
  <si>
    <t>l_inf</t>
  </si>
  <si>
    <t>kvb</t>
  </si>
  <si>
    <t>al0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</si>
</sst>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20922-D13B-4CCC-88AA-A4C380158BE2}">
  <dimension ref="A1:I6"/>
  <sheetViews>
    <sheetView tabSelected="1" workbookViewId="0">
      <selection activeCell="K8" sqref="K8"/>
    </sheetView>
  </sheetViews>
  <sheetFormatPr baseColWidth="10" defaultRowHeight="14.4" x14ac:dyDescent="0.3"/>
  <cols>
    <col min="2" max="2" width="26" bestFit="1" customWidth="1"/>
    <col min="3" max="3" width="26" customWidth="1"/>
  </cols>
  <sheetData>
    <row r="1" spans="1:9" x14ac:dyDescent="0.3">
      <c r="A1" t="s">
        <v>8</v>
      </c>
      <c r="B1" t="s">
        <v>0</v>
      </c>
      <c r="C1" t="s">
        <v>14</v>
      </c>
      <c r="D1" t="s">
        <v>1</v>
      </c>
      <c r="E1" t="s">
        <v>2</v>
      </c>
      <c r="F1" t="s">
        <v>21</v>
      </c>
      <c r="G1" t="s">
        <v>22</v>
      </c>
      <c r="H1" t="s">
        <v>23</v>
      </c>
      <c r="I1" t="s">
        <v>20</v>
      </c>
    </row>
    <row r="2" spans="1:9" x14ac:dyDescent="0.3">
      <c r="A2" t="s">
        <v>9</v>
      </c>
      <c r="B2" t="s">
        <v>3</v>
      </c>
      <c r="C2" t="s">
        <v>16</v>
      </c>
      <c r="D2">
        <v>5.5599999999999998E-3</v>
      </c>
      <c r="E2">
        <v>3.093</v>
      </c>
      <c r="F2">
        <v>18.2</v>
      </c>
      <c r="G2">
        <v>0.79</v>
      </c>
      <c r="H2">
        <v>-1</v>
      </c>
      <c r="I2">
        <v>13.7</v>
      </c>
    </row>
    <row r="3" spans="1:9" x14ac:dyDescent="0.3">
      <c r="A3" t="s">
        <v>10</v>
      </c>
      <c r="B3" t="s">
        <v>4</v>
      </c>
      <c r="C3" t="s">
        <v>15</v>
      </c>
      <c r="D3">
        <v>3.8E-3</v>
      </c>
      <c r="E3">
        <v>3.1320000000000001</v>
      </c>
      <c r="F3">
        <f>(63.93+57.43)/2</f>
        <v>60.68</v>
      </c>
      <c r="G3">
        <f>(0.18+0.21)/2</f>
        <v>0.19500000000000001</v>
      </c>
      <c r="H3">
        <f>(-1.41-1.39)/2</f>
        <v>-1.4</v>
      </c>
      <c r="I3">
        <v>35.25</v>
      </c>
    </row>
    <row r="4" spans="1:9" x14ac:dyDescent="0.3">
      <c r="A4" t="s">
        <v>11</v>
      </c>
      <c r="B4" t="s">
        <v>5</v>
      </c>
      <c r="C4" t="s">
        <v>17</v>
      </c>
      <c r="D4">
        <v>1.0776000000000001E-2</v>
      </c>
      <c r="E4">
        <v>2.9122699999999999</v>
      </c>
      <c r="F4">
        <v>23</v>
      </c>
      <c r="G4">
        <v>0.5</v>
      </c>
      <c r="H4">
        <v>-0.96</v>
      </c>
      <c r="I4">
        <v>14.8</v>
      </c>
    </row>
    <row r="5" spans="1:9" x14ac:dyDescent="0.3">
      <c r="A5" t="s">
        <v>12</v>
      </c>
      <c r="B5" t="s">
        <v>6</v>
      </c>
      <c r="C5" t="s">
        <v>18</v>
      </c>
      <c r="D5">
        <v>5.3E-3</v>
      </c>
      <c r="E5">
        <v>3.0840000000000001</v>
      </c>
      <c r="F5">
        <v>42.7</v>
      </c>
      <c r="G5">
        <v>0.26800000000000002</v>
      </c>
      <c r="H5">
        <v>-2.17</v>
      </c>
      <c r="I5">
        <v>28.7</v>
      </c>
    </row>
    <row r="6" spans="1:9" x14ac:dyDescent="0.3">
      <c r="A6" t="s">
        <v>13</v>
      </c>
      <c r="B6" t="s">
        <v>7</v>
      </c>
      <c r="C6" t="s">
        <v>19</v>
      </c>
      <c r="D6">
        <v>1.291E-2</v>
      </c>
      <c r="E6">
        <v>2.8544999999999998</v>
      </c>
      <c r="F6">
        <v>30.9</v>
      </c>
      <c r="G6">
        <v>0.24</v>
      </c>
      <c r="H6">
        <v>-1.82</v>
      </c>
      <c r="I6">
        <v>22.9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Velasco</dc:creator>
  <cp:lastModifiedBy>Anxo Paz Cuña</cp:lastModifiedBy>
  <dcterms:created xsi:type="dcterms:W3CDTF">2026-02-04T07:53:20Z</dcterms:created>
  <dcterms:modified xsi:type="dcterms:W3CDTF">2026-03-03T14:03:18Z</dcterms:modified>
</cp:coreProperties>
</file>